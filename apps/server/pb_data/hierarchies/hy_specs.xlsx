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/Users/haetun/Desktop/Projects/cubby-pages/pb_data/hierarchies/"/>
    </mc:Choice>
  </mc:AlternateContent>
  <xr:revisionPtr revIDLastSave="0" documentId="13_ncr:9_{E556BDF4-044C-8646-92BC-205A0FC31242}" xr6:coauthVersionLast="47" xr6:coauthVersionMax="47" xr10:uidLastSave="{00000000-0000-0000-0000-000000000000}"/>
  <bookViews>
    <workbookView xWindow="1800" yWindow="1920" windowWidth="27440" windowHeight="16240" activeTab="9" xr2:uid="{A093BD69-48A4-5845-9215-9BC1210B68B6}"/>
  </bookViews>
  <sheets>
    <sheet name="HY_Template" sheetId="4" r:id="rId1"/>
    <sheet name="Years" sheetId="1" r:id="rId2"/>
    <sheet name="Versions" sheetId="3" r:id="rId3"/>
    <sheet name="Months" sheetId="5" r:id="rId4"/>
    <sheet name="Dispatch_Plants" sheetId="17" r:id="rId5"/>
    <sheet name="Production_Plants" sheetId="16" r:id="rId6"/>
    <sheet name="Cement_types" sheetId="6" r:id="rId7"/>
    <sheet name="Cements_mills" sheetId="7" r:id="rId8"/>
    <sheet name="Cement_mill_KPIs" sheetId="8" r:id="rId9"/>
    <sheet name="Cement_mill_norms" sheetId="9" r:id="rId10"/>
    <sheet name="Paccing_types" sheetId="10" r:id="rId11"/>
    <sheet name="Recipes_raw_meal_indicators" sheetId="19" r:id="rId12"/>
    <sheet name="Recipes_cement_indicators" sheetId="18" r:id="rId1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A3" i="4"/>
  <c r="F3" i="4" l="1"/>
</calcChain>
</file>

<file path=xl/sharedStrings.xml><?xml version="1.0" encoding="utf-8"?>
<sst xmlns="http://schemas.openxmlformats.org/spreadsheetml/2006/main" count="629" uniqueCount="98">
  <si>
    <t>is_root</t>
  </si>
  <si>
    <t>is_leaf</t>
  </si>
  <si>
    <t>level_number</t>
  </si>
  <si>
    <t>id</t>
  </si>
  <si>
    <t>parent_id</t>
  </si>
  <si>
    <t>name</t>
  </si>
  <si>
    <t>All Yaers</t>
  </si>
  <si>
    <t>parent_name</t>
  </si>
  <si>
    <t>All Name of hierarhy</t>
  </si>
  <si>
    <t>Element 1</t>
  </si>
  <si>
    <t>Current/FC</t>
  </si>
  <si>
    <t>Prev FC</t>
  </si>
  <si>
    <t>Budget</t>
  </si>
  <si>
    <t>Bottom-up</t>
  </si>
  <si>
    <t>Adj 1</t>
  </si>
  <si>
    <t>Final volume</t>
  </si>
  <si>
    <t>ALL Versions</t>
  </si>
  <si>
    <t>ALL Months</t>
  </si>
  <si>
    <t>May</t>
  </si>
  <si>
    <t>Jan</t>
  </si>
  <si>
    <t>Feb</t>
  </si>
  <si>
    <t>Mar</t>
  </si>
  <si>
    <t>Apr</t>
  </si>
  <si>
    <t>Jun</t>
  </si>
  <si>
    <t>Jul</t>
  </si>
  <si>
    <t>Aug</t>
  </si>
  <si>
    <t>Sep</t>
  </si>
  <si>
    <t>Nov</t>
  </si>
  <si>
    <t>Dec</t>
  </si>
  <si>
    <t>Oct</t>
  </si>
  <si>
    <t>All Cement types</t>
  </si>
  <si>
    <t>CEM I 42.5 R</t>
  </si>
  <si>
    <t>CEM II/A-K 42.5 N</t>
  </si>
  <si>
    <t>CEM II/A-L 42.5 N</t>
  </si>
  <si>
    <t>500 D0 N</t>
  </si>
  <si>
    <t>All Cement Mills</t>
  </si>
  <si>
    <t>Cement mill #1</t>
  </si>
  <si>
    <t>Cement mill #2</t>
  </si>
  <si>
    <t>Cement production volume</t>
  </si>
  <si>
    <t>Calendar time</t>
  </si>
  <si>
    <t>Operating time</t>
  </si>
  <si>
    <t>Idle time</t>
  </si>
  <si>
    <t>Other downtime</t>
  </si>
  <si>
    <t>Production rate index [by BDP]</t>
  </si>
  <si>
    <t>Gross avaibility index</t>
  </si>
  <si>
    <t>Net avaibility index</t>
  </si>
  <si>
    <t>Gross OEE</t>
  </si>
  <si>
    <t>Net OEE</t>
  </si>
  <si>
    <t>BDP</t>
  </si>
  <si>
    <t>Standard cement capacity volume (based on 12 month roll comp. BDP)</t>
  </si>
  <si>
    <t>All Cement mill KPIs</t>
  </si>
  <si>
    <t>Unit</t>
  </si>
  <si>
    <t>unit</t>
  </si>
  <si>
    <t>Grinding air consumption</t>
  </si>
  <si>
    <t>Poliplast</t>
  </si>
  <si>
    <t>Grace</t>
  </si>
  <si>
    <t>Grinding media consumption</t>
  </si>
  <si>
    <t>[t/t cem]</t>
  </si>
  <si>
    <t>[kg/t]</t>
  </si>
  <si>
    <t>All Cement mill norms</t>
  </si>
  <si>
    <t>bulk</t>
  </si>
  <si>
    <t>bag 50 kg</t>
  </si>
  <si>
    <t>bag 25 kg</t>
  </si>
  <si>
    <t>Total</t>
  </si>
  <si>
    <t>Total bulks</t>
  </si>
  <si>
    <t>Total bags</t>
  </si>
  <si>
    <t>[t]</t>
  </si>
  <si>
    <t>Ferzikovo</t>
  </si>
  <si>
    <t>All All Production Plants</t>
  </si>
  <si>
    <t>Ferzikovo plant (LC)</t>
  </si>
  <si>
    <t>Holcim RUS CM Ltd</t>
  </si>
  <si>
    <t>v</t>
  </si>
  <si>
    <t>CLC Terminal Russkiy Stroitel</t>
  </si>
  <si>
    <t>Clinker</t>
  </si>
  <si>
    <t>[%]</t>
  </si>
  <si>
    <t>Limestone/
Marl own (directly consumed in cement grinding)</t>
  </si>
  <si>
    <t>Slag (GBFS)</t>
  </si>
  <si>
    <t>Artificial Gypsum</t>
  </si>
  <si>
    <t>Natural Gypsum</t>
  </si>
  <si>
    <t>Limestone (purchased)</t>
  </si>
  <si>
    <t>Fly ash</t>
  </si>
  <si>
    <t>White gypsum ash</t>
  </si>
  <si>
    <t>Puzzolan</t>
  </si>
  <si>
    <t>Cr6+ reduction agent</t>
  </si>
  <si>
    <t>Kiln dust</t>
  </si>
  <si>
    <t>White gypsum</t>
  </si>
  <si>
    <t>weight</t>
  </si>
  <si>
    <t>is_calculated</t>
  </si>
  <si>
    <t>Limestone</t>
  </si>
  <si>
    <t>Phosphogypsum</t>
  </si>
  <si>
    <t>Pyrite</t>
  </si>
  <si>
    <t>Sand</t>
  </si>
  <si>
    <t>Pyrite in Clay Mix</t>
  </si>
  <si>
    <t>Clay Mix</t>
  </si>
  <si>
    <t>TRUE</t>
  </si>
  <si>
    <t>FALSE</t>
  </si>
  <si>
    <t>natural_key</t>
  </si>
  <si>
    <t>level_name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</si>
</sst>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10"/>
      <name val="Arial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hair">
        <color indexed="22"/>
      </top>
      <bottom style="hair">
        <color indexed="22"/>
      </bottom>
      <diagonal/>
    </border>
  </borders>
  <cellStyleXfs count="3">
    <xf numFmtId="0" fontId="0" fillId="0" borderId="0"/>
    <xf numFmtId="49" fontId="1" fillId="2" borderId="1">
      <alignment horizontal="left" vertical="center"/>
      <protection locked="0"/>
    </xf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2"/>
  </cellXfs>
  <cellStyles count="3">
    <cellStyle name="Гиперссылка" xfId="2" builtinId="8"/>
    <cellStyle name="Обычный" xfId="0" builtinId="0"/>
    <cellStyle name="PMP2007_Text" xfId="1" xr:uid="{6C7534A4-08A6-5449-89F1-19CE311BAB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6C50C-F931-DC4A-A8DD-30E307593352}">
  <sheetPr codeName="Лист1">
    <tabColor theme="7" tint="0.79998168889431442"/>
  </sheetPr>
  <dimension ref="A1:L19"/>
  <sheetViews>
    <sheetView workbookViewId="0">
      <selection activeCell="K1" sqref="K1:L1"/>
    </sheetView>
  </sheetViews>
  <sheetFormatPr baseColWidth="10" defaultRowHeight="16" x14ac:dyDescent="0.2"/>
  <cols>
    <col min="1" max="2" width="15" customWidth="1"/>
    <col min="3" max="3" width="39.83203125" customWidth="1"/>
    <col min="4" max="4" width="15.1640625" customWidth="1"/>
    <col min="5" max="5" width="39.83203125" customWidth="1"/>
    <col min="6" max="8" width="15" customWidth="1"/>
  </cols>
  <sheetData>
    <row r="1" spans="1:12" x14ac:dyDescent="0.2">
      <c r="A1" t="s">
        <v>3</v>
      </c>
      <c r="B1" t="s">
        <v>4</v>
      </c>
      <c r="C1" t="s">
        <v>5</v>
      </c>
      <c r="D1" t="s">
        <v>52</v>
      </c>
      <c r="E1" t="s">
        <v>7</v>
      </c>
      <c r="F1" t="s">
        <v>2</v>
      </c>
      <c r="G1" t="s">
        <v>0</v>
      </c>
      <c r="H1" t="s">
        <v>1</v>
      </c>
      <c r="I1" t="s">
        <v>86</v>
      </c>
      <c r="J1" t="s">
        <v>87</v>
      </c>
      <c r="K1" t="s">
        <v>96</v>
      </c>
      <c r="L1" t="s">
        <v>97</v>
      </c>
    </row>
    <row r="2" spans="1:12" x14ac:dyDescent="0.2">
      <c r="A2">
        <v>1</v>
      </c>
      <c r="C2" t="s">
        <v>8</v>
      </c>
      <c r="F2">
        <v>1</v>
      </c>
      <c r="G2" t="s">
        <v>94</v>
      </c>
      <c r="H2" t="s">
        <v>95</v>
      </c>
      <c r="I2">
        <v>1</v>
      </c>
      <c r="J2" t="s">
        <v>95</v>
      </c>
    </row>
    <row r="3" spans="1:12" x14ac:dyDescent="0.2">
      <c r="A3">
        <f>A2+1</f>
        <v>2</v>
      </c>
      <c r="B3">
        <v>1</v>
      </c>
      <c r="C3" t="s">
        <v>9</v>
      </c>
      <c r="E3" t="str">
        <f>VLOOKUP(B3,A:C,3,0)</f>
        <v>All Name of hierarhy</v>
      </c>
      <c r="F3">
        <f>VLOOKUP(E3,C:F,4,0)+1</f>
        <v>2</v>
      </c>
      <c r="G3" t="s">
        <v>95</v>
      </c>
      <c r="H3" t="s">
        <v>94</v>
      </c>
      <c r="I3">
        <v>1</v>
      </c>
      <c r="J3" t="s">
        <v>95</v>
      </c>
    </row>
    <row r="19" spans="5:5" x14ac:dyDescent="0.2">
      <c r="E1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66650-186A-EE46-B156-696C8FC422C4}">
  <sheetPr codeName="Лист2"/>
  <dimension ref="A1:L15"/>
  <sheetViews>
    <sheetView workbookViewId="0">
      <selection activeCell="L1" sqref="K1:L1"/>
    </sheetView>
  </sheetViews>
  <sheetFormatPr baseColWidth="10" defaultRowHeight="16" x14ac:dyDescent="0.2"/>
  <cols>
    <col min="1" max="2" width="15" customWidth="1"/>
    <col min="3" max="3" width="39.83203125" customWidth="1"/>
    <col min="4" max="4" width="15" customWidth="1"/>
    <col min="5" max="5" width="39.83203125" customWidth="1"/>
    <col min="6" max="8" width="15.5" customWidth="1"/>
    <col min="9" max="10" width="13.33203125" customWidth="1"/>
  </cols>
  <sheetData>
    <row r="1" spans="1:12" x14ac:dyDescent="0.2">
      <c r="A1" t="s">
        <v>3</v>
      </c>
      <c r="B1" t="s">
        <v>4</v>
      </c>
      <c r="C1" t="s">
        <v>5</v>
      </c>
      <c r="D1" t="s">
        <v>52</v>
      </c>
      <c r="E1" t="s">
        <v>7</v>
      </c>
      <c r="F1" t="s">
        <v>2</v>
      </c>
      <c r="G1" t="s">
        <v>0</v>
      </c>
      <c r="H1" t="s">
        <v>1</v>
      </c>
      <c r="I1" t="s">
        <v>86</v>
      </c>
      <c r="J1" t="s">
        <v>87</v>
      </c>
      <c r="K1" t="s">
        <v>96</v>
      </c>
      <c r="L1" t="s">
        <v>97</v>
      </c>
    </row>
    <row r="2" spans="1:12" x14ac:dyDescent="0.2">
      <c r="A2">
        <v>1</v>
      </c>
      <c r="B2">
        <v>0</v>
      </c>
      <c r="C2" t="s">
        <v>6</v>
      </c>
      <c r="F2">
        <v>1</v>
      </c>
      <c r="G2" t="s">
        <v>94</v>
      </c>
      <c r="H2" t="s">
        <v>95</v>
      </c>
      <c r="I2">
        <v>1</v>
      </c>
      <c r="J2" t="s">
        <v>95</v>
      </c>
    </row>
    <row r="3" spans="1:12" x14ac:dyDescent="0.2">
      <c r="A3">
        <v>2</v>
      </c>
      <c r="B3">
        <v>1</v>
      </c>
      <c r="C3">
        <v>2018</v>
      </c>
      <c r="E3" t="s">
        <v>6</v>
      </c>
      <c r="F3">
        <v>2</v>
      </c>
      <c r="G3" t="s">
        <v>95</v>
      </c>
      <c r="H3" t="s">
        <v>94</v>
      </c>
      <c r="I3">
        <v>1</v>
      </c>
      <c r="J3" t="s">
        <v>95</v>
      </c>
    </row>
    <row r="4" spans="1:12" x14ac:dyDescent="0.2">
      <c r="A4">
        <v>3</v>
      </c>
      <c r="B4">
        <v>1</v>
      </c>
      <c r="C4">
        <v>2019</v>
      </c>
      <c r="E4" t="s">
        <v>6</v>
      </c>
      <c r="F4">
        <v>2</v>
      </c>
      <c r="G4" t="s">
        <v>95</v>
      </c>
      <c r="H4" t="s">
        <v>94</v>
      </c>
      <c r="I4">
        <v>1</v>
      </c>
      <c r="J4" t="s">
        <v>95</v>
      </c>
    </row>
    <row r="5" spans="1:12" x14ac:dyDescent="0.2">
      <c r="A5">
        <v>4</v>
      </c>
      <c r="B5">
        <v>1</v>
      </c>
      <c r="C5">
        <v>2020</v>
      </c>
      <c r="E5" t="s">
        <v>6</v>
      </c>
      <c r="F5">
        <v>2</v>
      </c>
      <c r="G5" t="s">
        <v>95</v>
      </c>
      <c r="H5" t="s">
        <v>94</v>
      </c>
      <c r="I5">
        <v>1</v>
      </c>
      <c r="J5" t="s">
        <v>95</v>
      </c>
    </row>
    <row r="6" spans="1:12" x14ac:dyDescent="0.2">
      <c r="A6">
        <v>5</v>
      </c>
      <c r="B6">
        <v>1</v>
      </c>
      <c r="C6">
        <v>2021</v>
      </c>
      <c r="E6" t="s">
        <v>6</v>
      </c>
      <c r="F6">
        <v>2</v>
      </c>
      <c r="G6" t="s">
        <v>95</v>
      </c>
      <c r="H6" t="s">
        <v>94</v>
      </c>
      <c r="I6">
        <v>1</v>
      </c>
      <c r="J6" t="s">
        <v>95</v>
      </c>
    </row>
    <row r="7" spans="1:12" x14ac:dyDescent="0.2">
      <c r="A7">
        <v>6</v>
      </c>
      <c r="B7">
        <v>1</v>
      </c>
      <c r="C7">
        <v>2022</v>
      </c>
      <c r="E7" t="s">
        <v>6</v>
      </c>
      <c r="F7">
        <v>2</v>
      </c>
      <c r="G7" t="s">
        <v>95</v>
      </c>
      <c r="H7" t="s">
        <v>94</v>
      </c>
      <c r="I7">
        <v>1</v>
      </c>
      <c r="J7" t="s">
        <v>95</v>
      </c>
    </row>
    <row r="8" spans="1:12" x14ac:dyDescent="0.2">
      <c r="A8">
        <v>7</v>
      </c>
      <c r="B8">
        <v>1</v>
      </c>
      <c r="C8">
        <v>2023</v>
      </c>
      <c r="E8" t="s">
        <v>6</v>
      </c>
      <c r="F8">
        <v>2</v>
      </c>
      <c r="G8" t="s">
        <v>95</v>
      </c>
      <c r="H8" t="s">
        <v>94</v>
      </c>
      <c r="I8">
        <v>1</v>
      </c>
      <c r="J8" t="s">
        <v>95</v>
      </c>
    </row>
    <row r="9" spans="1:12" x14ac:dyDescent="0.2">
      <c r="A9">
        <v>8</v>
      </c>
      <c r="B9">
        <v>1</v>
      </c>
      <c r="C9">
        <v>2024</v>
      </c>
      <c r="E9" t="s">
        <v>6</v>
      </c>
      <c r="F9">
        <v>2</v>
      </c>
      <c r="G9" t="s">
        <v>95</v>
      </c>
      <c r="H9" t="s">
        <v>94</v>
      </c>
      <c r="I9">
        <v>1</v>
      </c>
      <c r="J9" t="s">
        <v>95</v>
      </c>
    </row>
    <row r="10" spans="1:12" x14ac:dyDescent="0.2">
      <c r="A10">
        <v>9</v>
      </c>
      <c r="B10">
        <v>1</v>
      </c>
      <c r="C10">
        <v>2025</v>
      </c>
      <c r="E10" t="s">
        <v>6</v>
      </c>
      <c r="F10">
        <v>2</v>
      </c>
      <c r="G10" t="s">
        <v>95</v>
      </c>
      <c r="H10" t="s">
        <v>94</v>
      </c>
      <c r="I10">
        <v>1</v>
      </c>
      <c r="J10" t="s">
        <v>95</v>
      </c>
    </row>
    <row r="11" spans="1:12" x14ac:dyDescent="0.2">
      <c r="A11">
        <v>10</v>
      </c>
      <c r="B11">
        <v>1</v>
      </c>
      <c r="C11">
        <v>2026</v>
      </c>
      <c r="E11" t="s">
        <v>6</v>
      </c>
      <c r="F11">
        <v>2</v>
      </c>
      <c r="G11" t="s">
        <v>95</v>
      </c>
      <c r="H11" t="s">
        <v>94</v>
      </c>
      <c r="I11">
        <v>1</v>
      </c>
      <c r="J11" t="s">
        <v>95</v>
      </c>
    </row>
    <row r="12" spans="1:12" x14ac:dyDescent="0.2">
      <c r="A12">
        <v>11</v>
      </c>
      <c r="B12">
        <v>1</v>
      </c>
      <c r="C12">
        <v>2027</v>
      </c>
      <c r="E12" t="s">
        <v>6</v>
      </c>
      <c r="F12">
        <v>2</v>
      </c>
      <c r="G12" t="s">
        <v>95</v>
      </c>
      <c r="H12" t="s">
        <v>94</v>
      </c>
      <c r="I12">
        <v>1</v>
      </c>
      <c r="J12" t="s">
        <v>95</v>
      </c>
    </row>
    <row r="13" spans="1:12" x14ac:dyDescent="0.2">
      <c r="A13">
        <v>12</v>
      </c>
      <c r="B13">
        <v>1</v>
      </c>
      <c r="C13">
        <v>2028</v>
      </c>
      <c r="E13" t="s">
        <v>6</v>
      </c>
      <c r="F13">
        <v>2</v>
      </c>
      <c r="G13" t="s">
        <v>95</v>
      </c>
      <c r="H13" t="s">
        <v>94</v>
      </c>
      <c r="I13">
        <v>1</v>
      </c>
      <c r="J13" t="s">
        <v>95</v>
      </c>
    </row>
    <row r="14" spans="1:12" x14ac:dyDescent="0.2">
      <c r="A14">
        <v>13</v>
      </c>
      <c r="B14">
        <v>1</v>
      </c>
      <c r="C14">
        <v>2029</v>
      </c>
      <c r="E14" t="s">
        <v>6</v>
      </c>
      <c r="F14">
        <v>2</v>
      </c>
      <c r="G14" t="s">
        <v>95</v>
      </c>
      <c r="H14" t="s">
        <v>94</v>
      </c>
      <c r="I14">
        <v>1</v>
      </c>
      <c r="J14" t="s">
        <v>95</v>
      </c>
    </row>
    <row r="15" spans="1:12" x14ac:dyDescent="0.2">
      <c r="A15">
        <v>14</v>
      </c>
      <c r="B15">
        <v>1</v>
      </c>
      <c r="C15">
        <v>2030</v>
      </c>
      <c r="E15" t="s">
        <v>6</v>
      </c>
      <c r="F15">
        <v>2</v>
      </c>
      <c r="G15" t="s">
        <v>95</v>
      </c>
      <c r="H15" t="s">
        <v>94</v>
      </c>
      <c r="I15">
        <v>1</v>
      </c>
      <c r="J15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DED6E-F4CF-FF46-8B88-D1792D1F4C3F}">
  <sheetPr codeName="Лист3"/>
  <dimension ref="A1:L8"/>
  <sheetViews>
    <sheetView workbookViewId="0">
      <selection activeCell="K1" sqref="K1:L1"/>
    </sheetView>
  </sheetViews>
  <sheetFormatPr baseColWidth="10" defaultRowHeight="16" x14ac:dyDescent="0.2"/>
  <cols>
    <col min="1" max="2" width="15" customWidth="1"/>
    <col min="3" max="3" width="39.83203125" customWidth="1"/>
    <col min="4" max="4" width="15" customWidth="1"/>
    <col min="5" max="5" width="39.83203125" customWidth="1"/>
    <col min="6" max="7" width="15" customWidth="1"/>
    <col min="8" max="8" width="15.5" customWidth="1"/>
    <col min="9" max="10" width="13.33203125" customWidth="1"/>
  </cols>
  <sheetData>
    <row r="1" spans="1:12" x14ac:dyDescent="0.2">
      <c r="A1" t="s">
        <v>3</v>
      </c>
      <c r="B1" t="s">
        <v>4</v>
      </c>
      <c r="C1" t="s">
        <v>5</v>
      </c>
      <c r="D1" t="s">
        <v>51</v>
      </c>
      <c r="E1" t="s">
        <v>7</v>
      </c>
      <c r="F1" t="s">
        <v>2</v>
      </c>
      <c r="G1" t="s">
        <v>0</v>
      </c>
      <c r="H1" t="s">
        <v>1</v>
      </c>
      <c r="I1" t="s">
        <v>86</v>
      </c>
      <c r="J1" t="s">
        <v>87</v>
      </c>
      <c r="K1" t="s">
        <v>96</v>
      </c>
      <c r="L1" t="s">
        <v>97</v>
      </c>
    </row>
    <row r="2" spans="1:12" x14ac:dyDescent="0.2">
      <c r="A2">
        <v>1</v>
      </c>
      <c r="B2">
        <v>0</v>
      </c>
      <c r="C2" t="s">
        <v>16</v>
      </c>
      <c r="F2">
        <v>1</v>
      </c>
      <c r="G2" t="s">
        <v>94</v>
      </c>
      <c r="H2" t="s">
        <v>95</v>
      </c>
      <c r="I2">
        <v>1</v>
      </c>
      <c r="J2" t="s">
        <v>95</v>
      </c>
    </row>
    <row r="3" spans="1:12" x14ac:dyDescent="0.2">
      <c r="A3">
        <v>2</v>
      </c>
      <c r="B3">
        <v>1</v>
      </c>
      <c r="C3" t="s">
        <v>10</v>
      </c>
      <c r="E3" t="s">
        <v>16</v>
      </c>
      <c r="F3">
        <v>2</v>
      </c>
      <c r="G3" t="s">
        <v>95</v>
      </c>
      <c r="H3" t="s">
        <v>94</v>
      </c>
      <c r="I3">
        <v>1</v>
      </c>
      <c r="J3" t="s">
        <v>95</v>
      </c>
    </row>
    <row r="4" spans="1:12" x14ac:dyDescent="0.2">
      <c r="A4">
        <v>3</v>
      </c>
      <c r="B4">
        <v>1</v>
      </c>
      <c r="C4" t="s">
        <v>11</v>
      </c>
      <c r="E4" t="s">
        <v>16</v>
      </c>
      <c r="F4">
        <v>2</v>
      </c>
      <c r="G4" t="s">
        <v>95</v>
      </c>
      <c r="H4" t="s">
        <v>94</v>
      </c>
      <c r="I4">
        <v>1</v>
      </c>
      <c r="J4" t="s">
        <v>95</v>
      </c>
    </row>
    <row r="5" spans="1:12" x14ac:dyDescent="0.2">
      <c r="A5">
        <v>4</v>
      </c>
      <c r="B5">
        <v>1</v>
      </c>
      <c r="C5" t="s">
        <v>12</v>
      </c>
      <c r="E5" t="s">
        <v>16</v>
      </c>
      <c r="F5">
        <v>2</v>
      </c>
      <c r="G5" t="s">
        <v>95</v>
      </c>
      <c r="H5" t="s">
        <v>94</v>
      </c>
      <c r="I5">
        <v>1</v>
      </c>
      <c r="J5" t="s">
        <v>95</v>
      </c>
    </row>
    <row r="6" spans="1:12" x14ac:dyDescent="0.2">
      <c r="A6">
        <v>5</v>
      </c>
      <c r="B6">
        <v>1</v>
      </c>
      <c r="C6" t="s">
        <v>13</v>
      </c>
      <c r="E6" t="s">
        <v>16</v>
      </c>
      <c r="F6">
        <v>2</v>
      </c>
      <c r="G6" t="s">
        <v>95</v>
      </c>
      <c r="H6" t="s">
        <v>94</v>
      </c>
      <c r="I6">
        <v>1</v>
      </c>
      <c r="J6" t="s">
        <v>95</v>
      </c>
    </row>
    <row r="7" spans="1:12" x14ac:dyDescent="0.2">
      <c r="A7">
        <v>6</v>
      </c>
      <c r="B7">
        <v>1</v>
      </c>
      <c r="C7" t="s">
        <v>14</v>
      </c>
      <c r="E7" t="s">
        <v>16</v>
      </c>
      <c r="F7">
        <v>2</v>
      </c>
      <c r="G7" t="s">
        <v>95</v>
      </c>
      <c r="H7" t="s">
        <v>94</v>
      </c>
      <c r="I7">
        <v>1</v>
      </c>
      <c r="J7" t="s">
        <v>95</v>
      </c>
    </row>
    <row r="8" spans="1:12" x14ac:dyDescent="0.2">
      <c r="A8">
        <v>7</v>
      </c>
      <c r="B8">
        <v>1</v>
      </c>
      <c r="C8" t="s">
        <v>15</v>
      </c>
      <c r="E8" t="s">
        <v>16</v>
      </c>
      <c r="F8">
        <v>2</v>
      </c>
      <c r="G8" t="s">
        <v>95</v>
      </c>
      <c r="H8" t="s">
        <v>94</v>
      </c>
      <c r="I8">
        <v>1</v>
      </c>
      <c r="J8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9D224-CDFE-6E43-BE54-14476A724F62}">
  <sheetPr codeName="Лист4"/>
  <dimension ref="A1:L14"/>
  <sheetViews>
    <sheetView workbookViewId="0">
      <selection activeCell="K1" sqref="K1:L1"/>
    </sheetView>
  </sheetViews>
  <sheetFormatPr baseColWidth="10" defaultRowHeight="16" x14ac:dyDescent="0.2"/>
  <cols>
    <col min="1" max="2" width="15" customWidth="1"/>
    <col min="3" max="3" width="39.83203125" customWidth="1"/>
    <col min="4" max="4" width="15" customWidth="1"/>
    <col min="5" max="5" width="39.83203125" customWidth="1"/>
    <col min="6" max="8" width="15.5" customWidth="1"/>
    <col min="9" max="10" width="13.33203125" customWidth="1"/>
  </cols>
  <sheetData>
    <row r="1" spans="1:12" x14ac:dyDescent="0.2">
      <c r="A1" t="s">
        <v>3</v>
      </c>
      <c r="B1" t="s">
        <v>4</v>
      </c>
      <c r="C1" t="s">
        <v>5</v>
      </c>
      <c r="D1" t="s">
        <v>52</v>
      </c>
      <c r="E1" t="s">
        <v>7</v>
      </c>
      <c r="F1" t="s">
        <v>2</v>
      </c>
      <c r="G1" t="s">
        <v>0</v>
      </c>
      <c r="H1" t="s">
        <v>1</v>
      </c>
      <c r="I1" t="s">
        <v>86</v>
      </c>
      <c r="J1" t="s">
        <v>87</v>
      </c>
      <c r="K1" t="s">
        <v>96</v>
      </c>
      <c r="L1" t="s">
        <v>97</v>
      </c>
    </row>
    <row r="2" spans="1:12" x14ac:dyDescent="0.2">
      <c r="A2">
        <v>1</v>
      </c>
      <c r="B2">
        <v>0</v>
      </c>
      <c r="C2" t="s">
        <v>17</v>
      </c>
      <c r="F2">
        <v>1</v>
      </c>
      <c r="G2" t="s">
        <v>94</v>
      </c>
      <c r="H2" t="s">
        <v>95</v>
      </c>
      <c r="I2">
        <v>1</v>
      </c>
      <c r="J2" t="s">
        <v>95</v>
      </c>
    </row>
    <row r="3" spans="1:12" x14ac:dyDescent="0.2">
      <c r="A3">
        <v>2</v>
      </c>
      <c r="B3">
        <v>1</v>
      </c>
      <c r="C3" t="s">
        <v>19</v>
      </c>
      <c r="E3" t="s">
        <v>17</v>
      </c>
      <c r="F3">
        <v>2</v>
      </c>
      <c r="G3" t="s">
        <v>95</v>
      </c>
      <c r="H3" t="s">
        <v>94</v>
      </c>
      <c r="I3">
        <v>1</v>
      </c>
      <c r="J3" t="s">
        <v>95</v>
      </c>
    </row>
    <row r="4" spans="1:12" x14ac:dyDescent="0.2">
      <c r="A4">
        <v>3</v>
      </c>
      <c r="B4">
        <v>1</v>
      </c>
      <c r="C4" t="s">
        <v>20</v>
      </c>
      <c r="E4" t="s">
        <v>17</v>
      </c>
      <c r="F4">
        <v>2</v>
      </c>
      <c r="G4" t="s">
        <v>95</v>
      </c>
      <c r="H4" t="s">
        <v>94</v>
      </c>
      <c r="I4">
        <v>1</v>
      </c>
      <c r="J4" t="s">
        <v>95</v>
      </c>
    </row>
    <row r="5" spans="1:12" x14ac:dyDescent="0.2">
      <c r="A5">
        <v>4</v>
      </c>
      <c r="B5">
        <v>1</v>
      </c>
      <c r="C5" t="s">
        <v>21</v>
      </c>
      <c r="E5" t="s">
        <v>17</v>
      </c>
      <c r="F5">
        <v>2</v>
      </c>
      <c r="G5" t="s">
        <v>95</v>
      </c>
      <c r="H5" t="s">
        <v>94</v>
      </c>
      <c r="I5">
        <v>1</v>
      </c>
      <c r="J5" t="s">
        <v>95</v>
      </c>
    </row>
    <row r="6" spans="1:12" x14ac:dyDescent="0.2">
      <c r="A6">
        <v>5</v>
      </c>
      <c r="B6">
        <v>1</v>
      </c>
      <c r="C6" t="s">
        <v>22</v>
      </c>
      <c r="E6" t="s">
        <v>17</v>
      </c>
      <c r="F6">
        <v>2</v>
      </c>
      <c r="G6" t="s">
        <v>95</v>
      </c>
      <c r="H6" t="s">
        <v>94</v>
      </c>
      <c r="I6">
        <v>1</v>
      </c>
      <c r="J6" t="s">
        <v>95</v>
      </c>
    </row>
    <row r="7" spans="1:12" x14ac:dyDescent="0.2">
      <c r="A7">
        <v>6</v>
      </c>
      <c r="B7">
        <v>1</v>
      </c>
      <c r="C7" t="s">
        <v>18</v>
      </c>
      <c r="E7" t="s">
        <v>17</v>
      </c>
      <c r="F7">
        <v>2</v>
      </c>
      <c r="G7" t="s">
        <v>95</v>
      </c>
      <c r="H7" t="s">
        <v>94</v>
      </c>
      <c r="I7">
        <v>1</v>
      </c>
      <c r="J7" t="s">
        <v>95</v>
      </c>
    </row>
    <row r="8" spans="1:12" x14ac:dyDescent="0.2">
      <c r="A8">
        <v>7</v>
      </c>
      <c r="B8">
        <v>1</v>
      </c>
      <c r="C8" t="s">
        <v>23</v>
      </c>
      <c r="E8" t="s">
        <v>17</v>
      </c>
      <c r="F8">
        <v>2</v>
      </c>
      <c r="G8" t="s">
        <v>95</v>
      </c>
      <c r="H8" t="s">
        <v>94</v>
      </c>
      <c r="I8">
        <v>1</v>
      </c>
      <c r="J8" t="s">
        <v>95</v>
      </c>
    </row>
    <row r="9" spans="1:12" x14ac:dyDescent="0.2">
      <c r="A9">
        <v>8</v>
      </c>
      <c r="B9">
        <v>1</v>
      </c>
      <c r="C9" t="s">
        <v>24</v>
      </c>
      <c r="E9" t="s">
        <v>17</v>
      </c>
      <c r="F9">
        <v>2</v>
      </c>
      <c r="G9" t="s">
        <v>95</v>
      </c>
      <c r="H9" t="s">
        <v>94</v>
      </c>
      <c r="I9">
        <v>1</v>
      </c>
      <c r="J9" t="s">
        <v>95</v>
      </c>
    </row>
    <row r="10" spans="1:12" x14ac:dyDescent="0.2">
      <c r="A10">
        <v>9</v>
      </c>
      <c r="B10">
        <v>1</v>
      </c>
      <c r="C10" t="s">
        <v>25</v>
      </c>
      <c r="E10" t="s">
        <v>17</v>
      </c>
      <c r="F10">
        <v>2</v>
      </c>
      <c r="G10" t="s">
        <v>95</v>
      </c>
      <c r="H10" t="s">
        <v>94</v>
      </c>
      <c r="I10">
        <v>1</v>
      </c>
      <c r="J10" t="s">
        <v>95</v>
      </c>
    </row>
    <row r="11" spans="1:12" x14ac:dyDescent="0.2">
      <c r="A11">
        <v>10</v>
      </c>
      <c r="B11">
        <v>1</v>
      </c>
      <c r="C11" t="s">
        <v>26</v>
      </c>
      <c r="E11" t="s">
        <v>17</v>
      </c>
      <c r="F11">
        <v>2</v>
      </c>
      <c r="G11" t="s">
        <v>95</v>
      </c>
      <c r="H11" t="s">
        <v>94</v>
      </c>
      <c r="I11">
        <v>1</v>
      </c>
      <c r="J11" t="s">
        <v>95</v>
      </c>
    </row>
    <row r="12" spans="1:12" x14ac:dyDescent="0.2">
      <c r="A12">
        <v>11</v>
      </c>
      <c r="B12">
        <v>1</v>
      </c>
      <c r="C12" t="s">
        <v>29</v>
      </c>
      <c r="E12" t="s">
        <v>17</v>
      </c>
      <c r="F12">
        <v>2</v>
      </c>
      <c r="G12" t="s">
        <v>95</v>
      </c>
      <c r="H12" t="s">
        <v>94</v>
      </c>
      <c r="I12">
        <v>1</v>
      </c>
      <c r="J12" t="s">
        <v>95</v>
      </c>
    </row>
    <row r="13" spans="1:12" x14ac:dyDescent="0.2">
      <c r="A13">
        <v>12</v>
      </c>
      <c r="B13">
        <v>1</v>
      </c>
      <c r="C13" t="s">
        <v>27</v>
      </c>
      <c r="E13" t="s">
        <v>17</v>
      </c>
      <c r="F13">
        <v>2</v>
      </c>
      <c r="G13" t="s">
        <v>95</v>
      </c>
      <c r="H13" t="s">
        <v>94</v>
      </c>
      <c r="I13">
        <v>1</v>
      </c>
      <c r="J13" t="s">
        <v>95</v>
      </c>
    </row>
    <row r="14" spans="1:12" x14ac:dyDescent="0.2">
      <c r="A14">
        <v>13</v>
      </c>
      <c r="B14">
        <v>1</v>
      </c>
      <c r="C14" t="s">
        <v>28</v>
      </c>
      <c r="E14" t="s">
        <v>17</v>
      </c>
      <c r="F14">
        <v>2</v>
      </c>
      <c r="G14" t="s">
        <v>95</v>
      </c>
      <c r="H14" t="s">
        <v>94</v>
      </c>
      <c r="I14">
        <v>1</v>
      </c>
      <c r="J14" t="s">
        <v>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784BB-8605-444B-A2B9-AAE6E32D6B4C}">
  <sheetPr codeName="Лист5"/>
  <dimension ref="A1:L4"/>
  <sheetViews>
    <sheetView workbookViewId="0">
      <selection activeCell="K1" sqref="K1:L1"/>
    </sheetView>
  </sheetViews>
  <sheetFormatPr baseColWidth="10" defaultRowHeight="16" x14ac:dyDescent="0.2"/>
  <cols>
    <col min="1" max="2" width="15" customWidth="1"/>
    <col min="3" max="3" width="39.83203125" customWidth="1"/>
    <col min="4" max="4" width="15.1640625" customWidth="1"/>
    <col min="5" max="5" width="39.83203125" customWidth="1"/>
    <col min="6" max="8" width="15" customWidth="1"/>
    <col min="9" max="10" width="13.33203125" customWidth="1"/>
  </cols>
  <sheetData>
    <row r="1" spans="1:12" x14ac:dyDescent="0.2">
      <c r="A1" t="s">
        <v>71</v>
      </c>
      <c r="B1" t="s">
        <v>4</v>
      </c>
      <c r="C1" t="s">
        <v>5</v>
      </c>
      <c r="D1" t="s">
        <v>52</v>
      </c>
      <c r="E1" t="s">
        <v>7</v>
      </c>
      <c r="F1" t="s">
        <v>2</v>
      </c>
      <c r="G1" t="s">
        <v>0</v>
      </c>
      <c r="H1" t="s">
        <v>1</v>
      </c>
      <c r="I1" t="s">
        <v>86</v>
      </c>
      <c r="J1" t="s">
        <v>87</v>
      </c>
      <c r="K1" t="s">
        <v>96</v>
      </c>
      <c r="L1" t="s">
        <v>97</v>
      </c>
    </row>
    <row r="2" spans="1:12" x14ac:dyDescent="0.2">
      <c r="A2">
        <v>1</v>
      </c>
      <c r="B2">
        <v>0</v>
      </c>
      <c r="C2" t="s">
        <v>70</v>
      </c>
      <c r="F2">
        <v>1</v>
      </c>
      <c r="G2" t="s">
        <v>94</v>
      </c>
      <c r="H2" t="s">
        <v>95</v>
      </c>
      <c r="I2">
        <v>1</v>
      </c>
      <c r="J2" t="s">
        <v>95</v>
      </c>
    </row>
    <row r="3" spans="1:12" x14ac:dyDescent="0.2">
      <c r="A3">
        <v>2</v>
      </c>
      <c r="B3">
        <v>1</v>
      </c>
      <c r="C3" t="s">
        <v>69</v>
      </c>
      <c r="E3" t="s">
        <v>70</v>
      </c>
      <c r="F3">
        <v>2</v>
      </c>
      <c r="G3" t="s">
        <v>95</v>
      </c>
      <c r="H3" t="s">
        <v>94</v>
      </c>
      <c r="I3">
        <v>1</v>
      </c>
      <c r="J3" t="s">
        <v>95</v>
      </c>
    </row>
    <row r="4" spans="1:12" x14ac:dyDescent="0.2">
      <c r="A4">
        <v>3</v>
      </c>
      <c r="B4">
        <v>1</v>
      </c>
      <c r="C4" t="s">
        <v>72</v>
      </c>
      <c r="E4" t="s">
        <v>70</v>
      </c>
      <c r="F4">
        <v>2</v>
      </c>
      <c r="G4" t="s">
        <v>95</v>
      </c>
      <c r="H4" t="s">
        <v>94</v>
      </c>
      <c r="I4">
        <v>1</v>
      </c>
      <c r="J4" t="s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7E205-67A6-6340-AE79-E7407D247B0E}">
  <sheetPr codeName="Лист6"/>
  <dimension ref="A1:L3"/>
  <sheetViews>
    <sheetView workbookViewId="0">
      <selection activeCell="K1" sqref="K1:L1"/>
    </sheetView>
  </sheetViews>
  <sheetFormatPr baseColWidth="10" defaultRowHeight="16" x14ac:dyDescent="0.2"/>
  <cols>
    <col min="1" max="2" width="15" customWidth="1"/>
    <col min="3" max="3" width="39.83203125" customWidth="1"/>
    <col min="4" max="4" width="15.1640625" customWidth="1"/>
    <col min="5" max="5" width="39.83203125" customWidth="1"/>
    <col min="6" max="8" width="15" customWidth="1"/>
    <col min="9" max="10" width="13.33203125" customWidth="1"/>
  </cols>
  <sheetData>
    <row r="1" spans="1:12" x14ac:dyDescent="0.2">
      <c r="A1" t="s">
        <v>3</v>
      </c>
      <c r="B1" t="s">
        <v>4</v>
      </c>
      <c r="C1" t="s">
        <v>5</v>
      </c>
      <c r="D1" t="s">
        <v>52</v>
      </c>
      <c r="E1" t="s">
        <v>7</v>
      </c>
      <c r="F1" t="s">
        <v>2</v>
      </c>
      <c r="G1" t="s">
        <v>0</v>
      </c>
      <c r="H1" t="s">
        <v>1</v>
      </c>
      <c r="I1" t="s">
        <v>86</v>
      </c>
      <c r="J1" t="s">
        <v>87</v>
      </c>
      <c r="K1" t="s">
        <v>96</v>
      </c>
      <c r="L1" t="s">
        <v>97</v>
      </c>
    </row>
    <row r="2" spans="1:12" x14ac:dyDescent="0.2">
      <c r="A2">
        <v>1</v>
      </c>
      <c r="B2">
        <v>0</v>
      </c>
      <c r="C2" t="s">
        <v>68</v>
      </c>
      <c r="F2">
        <v>1</v>
      </c>
      <c r="G2" t="s">
        <v>94</v>
      </c>
      <c r="H2" t="s">
        <v>95</v>
      </c>
      <c r="I2">
        <v>1</v>
      </c>
      <c r="J2" t="s">
        <v>95</v>
      </c>
    </row>
    <row r="3" spans="1:12" x14ac:dyDescent="0.2">
      <c r="A3">
        <v>2</v>
      </c>
      <c r="B3">
        <v>1</v>
      </c>
      <c r="C3" t="s">
        <v>67</v>
      </c>
      <c r="E3" t="s">
        <v>68</v>
      </c>
      <c r="F3">
        <v>2</v>
      </c>
      <c r="G3" t="s">
        <v>95</v>
      </c>
      <c r="H3" t="s">
        <v>94</v>
      </c>
      <c r="I3">
        <v>1</v>
      </c>
      <c r="J3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0E748-68F3-4E49-A4A4-E52A9F6237F0}">
  <sheetPr codeName="Лист7"/>
  <dimension ref="A1:L6"/>
  <sheetViews>
    <sheetView workbookViewId="0">
      <selection activeCell="K1" sqref="K1:L1"/>
    </sheetView>
  </sheetViews>
  <sheetFormatPr baseColWidth="10" defaultRowHeight="16" x14ac:dyDescent="0.2"/>
  <cols>
    <col min="1" max="2" width="15" customWidth="1"/>
    <col min="3" max="3" width="40" customWidth="1"/>
    <col min="4" max="4" width="15" customWidth="1"/>
    <col min="5" max="5" width="40" customWidth="1"/>
    <col min="6" max="8" width="15" customWidth="1"/>
    <col min="9" max="10" width="13.33203125" customWidth="1"/>
  </cols>
  <sheetData>
    <row r="1" spans="1:12" x14ac:dyDescent="0.2">
      <c r="A1" t="s">
        <v>3</v>
      </c>
      <c r="B1" t="s">
        <v>4</v>
      </c>
      <c r="C1" t="s">
        <v>5</v>
      </c>
      <c r="D1" t="s">
        <v>52</v>
      </c>
      <c r="E1" t="s">
        <v>7</v>
      </c>
      <c r="F1" t="s">
        <v>2</v>
      </c>
      <c r="G1" t="s">
        <v>0</v>
      </c>
      <c r="H1" t="s">
        <v>1</v>
      </c>
      <c r="I1" t="s">
        <v>86</v>
      </c>
      <c r="J1" t="s">
        <v>87</v>
      </c>
      <c r="K1" t="s">
        <v>96</v>
      </c>
      <c r="L1" t="s">
        <v>97</v>
      </c>
    </row>
    <row r="2" spans="1:12" x14ac:dyDescent="0.2">
      <c r="A2">
        <v>1</v>
      </c>
      <c r="B2">
        <v>0</v>
      </c>
      <c r="C2" t="s">
        <v>30</v>
      </c>
      <c r="F2">
        <v>1</v>
      </c>
      <c r="G2" t="s">
        <v>94</v>
      </c>
      <c r="H2" t="s">
        <v>95</v>
      </c>
      <c r="I2">
        <v>1</v>
      </c>
      <c r="J2" t="s">
        <v>95</v>
      </c>
    </row>
    <row r="3" spans="1:12" x14ac:dyDescent="0.2">
      <c r="A3">
        <v>2</v>
      </c>
      <c r="B3">
        <v>1</v>
      </c>
      <c r="C3" t="s">
        <v>31</v>
      </c>
      <c r="E3" t="s">
        <v>30</v>
      </c>
      <c r="F3">
        <v>2</v>
      </c>
      <c r="G3" t="s">
        <v>95</v>
      </c>
      <c r="H3" t="s">
        <v>94</v>
      </c>
      <c r="I3">
        <v>1</v>
      </c>
      <c r="J3" t="s">
        <v>95</v>
      </c>
    </row>
    <row r="4" spans="1:12" x14ac:dyDescent="0.2">
      <c r="A4">
        <v>3</v>
      </c>
      <c r="B4">
        <v>1</v>
      </c>
      <c r="C4" t="s">
        <v>32</v>
      </c>
      <c r="E4" t="s">
        <v>30</v>
      </c>
      <c r="F4">
        <v>2</v>
      </c>
      <c r="G4" t="s">
        <v>95</v>
      </c>
      <c r="H4" t="s">
        <v>94</v>
      </c>
      <c r="I4">
        <v>1</v>
      </c>
      <c r="J4" t="s">
        <v>95</v>
      </c>
    </row>
    <row r="5" spans="1:12" x14ac:dyDescent="0.2">
      <c r="A5">
        <v>4</v>
      </c>
      <c r="B5">
        <v>1</v>
      </c>
      <c r="C5" t="s">
        <v>33</v>
      </c>
      <c r="E5" t="s">
        <v>30</v>
      </c>
      <c r="F5">
        <v>2</v>
      </c>
      <c r="G5" t="s">
        <v>95</v>
      </c>
      <c r="H5" t="s">
        <v>94</v>
      </c>
      <c r="I5">
        <v>1</v>
      </c>
      <c r="J5" t="s">
        <v>95</v>
      </c>
    </row>
    <row r="6" spans="1:12" x14ac:dyDescent="0.2">
      <c r="A6">
        <v>5</v>
      </c>
      <c r="B6">
        <v>1</v>
      </c>
      <c r="C6" t="s">
        <v>34</v>
      </c>
      <c r="E6" t="s">
        <v>30</v>
      </c>
      <c r="F6">
        <v>2</v>
      </c>
      <c r="G6" t="s">
        <v>95</v>
      </c>
      <c r="H6" t="s">
        <v>94</v>
      </c>
      <c r="I6">
        <v>1</v>
      </c>
      <c r="J6" t="s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69E8C-0FFC-C643-916E-F5515C180197}">
  <sheetPr codeName="Лист8"/>
  <dimension ref="A1:L4"/>
  <sheetViews>
    <sheetView workbookViewId="0">
      <selection activeCell="K1" sqref="K1:L1"/>
    </sheetView>
  </sheetViews>
  <sheetFormatPr baseColWidth="10" defaultRowHeight="16" x14ac:dyDescent="0.2"/>
  <cols>
    <col min="1" max="2" width="15" customWidth="1"/>
    <col min="3" max="3" width="39.83203125" customWidth="1"/>
    <col min="4" max="4" width="15" customWidth="1"/>
    <col min="5" max="5" width="39.83203125" customWidth="1"/>
    <col min="6" max="8" width="15.5" customWidth="1"/>
    <col min="9" max="10" width="13.33203125" customWidth="1"/>
  </cols>
  <sheetData>
    <row r="1" spans="1:12" x14ac:dyDescent="0.2">
      <c r="A1" t="s">
        <v>3</v>
      </c>
      <c r="B1" t="s">
        <v>4</v>
      </c>
      <c r="C1" t="s">
        <v>5</v>
      </c>
      <c r="D1" t="s">
        <v>52</v>
      </c>
      <c r="E1" t="s">
        <v>7</v>
      </c>
      <c r="F1" t="s">
        <v>2</v>
      </c>
      <c r="G1" t="s">
        <v>0</v>
      </c>
      <c r="H1" t="s">
        <v>1</v>
      </c>
      <c r="I1" t="s">
        <v>86</v>
      </c>
      <c r="J1" t="s">
        <v>87</v>
      </c>
      <c r="K1" t="s">
        <v>96</v>
      </c>
      <c r="L1" t="s">
        <v>97</v>
      </c>
    </row>
    <row r="2" spans="1:12" x14ac:dyDescent="0.2">
      <c r="A2">
        <v>1</v>
      </c>
      <c r="B2">
        <v>0</v>
      </c>
      <c r="C2" t="s">
        <v>35</v>
      </c>
      <c r="F2">
        <v>1</v>
      </c>
      <c r="G2" t="s">
        <v>94</v>
      </c>
      <c r="H2" t="s">
        <v>95</v>
      </c>
      <c r="I2">
        <v>1</v>
      </c>
      <c r="J2" t="s">
        <v>95</v>
      </c>
    </row>
    <row r="3" spans="1:12" x14ac:dyDescent="0.2">
      <c r="A3">
        <v>2</v>
      </c>
      <c r="B3">
        <v>1</v>
      </c>
      <c r="C3" t="s">
        <v>36</v>
      </c>
      <c r="E3" t="s">
        <v>35</v>
      </c>
      <c r="F3">
        <v>2</v>
      </c>
      <c r="G3" t="s">
        <v>95</v>
      </c>
      <c r="H3" t="s">
        <v>94</v>
      </c>
      <c r="I3">
        <v>1</v>
      </c>
      <c r="J3" t="s">
        <v>95</v>
      </c>
    </row>
    <row r="4" spans="1:12" x14ac:dyDescent="0.2">
      <c r="A4">
        <v>3</v>
      </c>
      <c r="B4">
        <v>1</v>
      </c>
      <c r="C4" t="s">
        <v>37</v>
      </c>
      <c r="E4" t="s">
        <v>35</v>
      </c>
      <c r="F4">
        <v>2</v>
      </c>
      <c r="G4" t="s">
        <v>95</v>
      </c>
      <c r="H4" t="s">
        <v>94</v>
      </c>
      <c r="I4">
        <v>1</v>
      </c>
      <c r="J4" t="s">
        <v>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897EC-E06B-3941-9BF2-9586460D9C47}">
  <sheetPr codeName="Лист9"/>
  <dimension ref="A1:L14"/>
  <sheetViews>
    <sheetView workbookViewId="0">
      <selection activeCell="K1" sqref="K1:L1"/>
    </sheetView>
  </sheetViews>
  <sheetFormatPr baseColWidth="10" defaultRowHeight="16" x14ac:dyDescent="0.2"/>
  <cols>
    <col min="1" max="2" width="14.83203125" customWidth="1"/>
    <col min="3" max="3" width="39.83203125" customWidth="1"/>
    <col min="4" max="4" width="15" customWidth="1"/>
    <col min="5" max="5" width="39.83203125" customWidth="1"/>
    <col min="6" max="8" width="15" customWidth="1"/>
    <col min="9" max="10" width="13.33203125" customWidth="1"/>
  </cols>
  <sheetData>
    <row r="1" spans="1:12" x14ac:dyDescent="0.2">
      <c r="A1" t="s">
        <v>3</v>
      </c>
      <c r="B1" t="s">
        <v>4</v>
      </c>
      <c r="C1" t="s">
        <v>5</v>
      </c>
      <c r="D1" t="s">
        <v>52</v>
      </c>
      <c r="E1" t="s">
        <v>7</v>
      </c>
      <c r="F1" t="s">
        <v>2</v>
      </c>
      <c r="G1" t="s">
        <v>0</v>
      </c>
      <c r="H1" t="s">
        <v>1</v>
      </c>
      <c r="I1" t="s">
        <v>86</v>
      </c>
      <c r="J1" t="s">
        <v>87</v>
      </c>
      <c r="K1" t="s">
        <v>96</v>
      </c>
      <c r="L1" t="s">
        <v>97</v>
      </c>
    </row>
    <row r="2" spans="1:12" x14ac:dyDescent="0.2">
      <c r="A2">
        <v>1</v>
      </c>
      <c r="B2">
        <v>0</v>
      </c>
      <c r="C2" t="s">
        <v>50</v>
      </c>
      <c r="F2">
        <v>1</v>
      </c>
      <c r="G2" t="s">
        <v>94</v>
      </c>
      <c r="H2" t="s">
        <v>95</v>
      </c>
      <c r="I2">
        <v>1</v>
      </c>
      <c r="J2" t="s">
        <v>95</v>
      </c>
    </row>
    <row r="3" spans="1:12" x14ac:dyDescent="0.2">
      <c r="A3">
        <v>2</v>
      </c>
      <c r="B3">
        <v>1</v>
      </c>
      <c r="C3" t="s">
        <v>38</v>
      </c>
      <c r="E3" t="s">
        <v>50</v>
      </c>
      <c r="F3">
        <v>2</v>
      </c>
      <c r="G3" t="s">
        <v>95</v>
      </c>
      <c r="H3" t="s">
        <v>94</v>
      </c>
      <c r="I3">
        <v>1</v>
      </c>
      <c r="J3" t="s">
        <v>95</v>
      </c>
    </row>
    <row r="4" spans="1:12" x14ac:dyDescent="0.2">
      <c r="A4">
        <v>3</v>
      </c>
      <c r="B4">
        <v>1</v>
      </c>
      <c r="C4" t="s">
        <v>39</v>
      </c>
      <c r="E4" t="s">
        <v>50</v>
      </c>
      <c r="F4">
        <v>2</v>
      </c>
      <c r="G4" t="s">
        <v>95</v>
      </c>
      <c r="H4" t="s">
        <v>94</v>
      </c>
      <c r="I4">
        <v>1</v>
      </c>
      <c r="J4" t="s">
        <v>95</v>
      </c>
    </row>
    <row r="5" spans="1:12" x14ac:dyDescent="0.2">
      <c r="A5">
        <v>4</v>
      </c>
      <c r="B5">
        <v>1</v>
      </c>
      <c r="C5" t="s">
        <v>40</v>
      </c>
      <c r="E5" t="s">
        <v>50</v>
      </c>
      <c r="F5">
        <v>2</v>
      </c>
      <c r="G5" t="s">
        <v>95</v>
      </c>
      <c r="H5" t="s">
        <v>94</v>
      </c>
      <c r="I5">
        <v>1</v>
      </c>
      <c r="J5" t="s">
        <v>95</v>
      </c>
    </row>
    <row r="6" spans="1:12" x14ac:dyDescent="0.2">
      <c r="A6">
        <v>5</v>
      </c>
      <c r="B6">
        <v>1</v>
      </c>
      <c r="C6" t="s">
        <v>41</v>
      </c>
      <c r="E6" t="s">
        <v>50</v>
      </c>
      <c r="F6">
        <v>2</v>
      </c>
      <c r="G6" t="s">
        <v>95</v>
      </c>
      <c r="H6" t="s">
        <v>94</v>
      </c>
      <c r="I6">
        <v>1</v>
      </c>
      <c r="J6" t="s">
        <v>95</v>
      </c>
    </row>
    <row r="7" spans="1:12" x14ac:dyDescent="0.2">
      <c r="A7">
        <v>6</v>
      </c>
      <c r="B7">
        <v>1</v>
      </c>
      <c r="C7" t="s">
        <v>42</v>
      </c>
      <c r="E7" t="s">
        <v>50</v>
      </c>
      <c r="F7">
        <v>2</v>
      </c>
      <c r="G7" t="s">
        <v>95</v>
      </c>
      <c r="H7" t="s">
        <v>94</v>
      </c>
      <c r="I7">
        <v>1</v>
      </c>
      <c r="J7" t="s">
        <v>95</v>
      </c>
    </row>
    <row r="8" spans="1:12" x14ac:dyDescent="0.2">
      <c r="A8">
        <v>7</v>
      </c>
      <c r="B8">
        <v>1</v>
      </c>
      <c r="C8" t="s">
        <v>43</v>
      </c>
      <c r="E8" t="s">
        <v>50</v>
      </c>
      <c r="F8">
        <v>2</v>
      </c>
      <c r="G8" t="s">
        <v>95</v>
      </c>
      <c r="H8" t="s">
        <v>94</v>
      </c>
      <c r="I8">
        <v>1</v>
      </c>
      <c r="J8" t="s">
        <v>95</v>
      </c>
    </row>
    <row r="9" spans="1:12" x14ac:dyDescent="0.2">
      <c r="A9">
        <v>8</v>
      </c>
      <c r="B9">
        <v>1</v>
      </c>
      <c r="C9" t="s">
        <v>44</v>
      </c>
      <c r="E9" t="s">
        <v>50</v>
      </c>
      <c r="F9">
        <v>2</v>
      </c>
      <c r="G9" t="s">
        <v>95</v>
      </c>
      <c r="H9" t="s">
        <v>94</v>
      </c>
      <c r="I9">
        <v>1</v>
      </c>
      <c r="J9" t="s">
        <v>95</v>
      </c>
    </row>
    <row r="10" spans="1:12" x14ac:dyDescent="0.2">
      <c r="A10">
        <v>9</v>
      </c>
      <c r="B10">
        <v>1</v>
      </c>
      <c r="C10" t="s">
        <v>45</v>
      </c>
      <c r="E10" t="s">
        <v>50</v>
      </c>
      <c r="F10">
        <v>2</v>
      </c>
      <c r="G10" t="s">
        <v>95</v>
      </c>
      <c r="H10" t="s">
        <v>94</v>
      </c>
      <c r="I10">
        <v>1</v>
      </c>
      <c r="J10" t="s">
        <v>95</v>
      </c>
    </row>
    <row r="11" spans="1:12" x14ac:dyDescent="0.2">
      <c r="A11">
        <v>10</v>
      </c>
      <c r="B11">
        <v>1</v>
      </c>
      <c r="C11" t="s">
        <v>46</v>
      </c>
      <c r="E11" t="s">
        <v>50</v>
      </c>
      <c r="F11">
        <v>2</v>
      </c>
      <c r="G11" t="s">
        <v>95</v>
      </c>
      <c r="H11" t="s">
        <v>94</v>
      </c>
      <c r="I11">
        <v>1</v>
      </c>
      <c r="J11" t="s">
        <v>95</v>
      </c>
    </row>
    <row r="12" spans="1:12" x14ac:dyDescent="0.2">
      <c r="A12">
        <v>11</v>
      </c>
      <c r="B12">
        <v>1</v>
      </c>
      <c r="C12" t="s">
        <v>47</v>
      </c>
      <c r="E12" t="s">
        <v>50</v>
      </c>
      <c r="F12">
        <v>2</v>
      </c>
      <c r="G12" t="s">
        <v>95</v>
      </c>
      <c r="H12" t="s">
        <v>94</v>
      </c>
      <c r="I12">
        <v>1</v>
      </c>
      <c r="J12" t="s">
        <v>95</v>
      </c>
    </row>
    <row r="13" spans="1:12" x14ac:dyDescent="0.2">
      <c r="A13">
        <v>12</v>
      </c>
      <c r="B13">
        <v>1</v>
      </c>
      <c r="C13" t="s">
        <v>48</v>
      </c>
      <c r="E13" t="s">
        <v>50</v>
      </c>
      <c r="F13">
        <v>2</v>
      </c>
      <c r="G13" t="s">
        <v>95</v>
      </c>
      <c r="H13" t="s">
        <v>94</v>
      </c>
      <c r="I13">
        <v>1</v>
      </c>
      <c r="J13" t="s">
        <v>95</v>
      </c>
    </row>
    <row r="14" spans="1:12" x14ac:dyDescent="0.2">
      <c r="A14">
        <v>13</v>
      </c>
      <c r="B14">
        <v>1</v>
      </c>
      <c r="C14" t="s">
        <v>49</v>
      </c>
      <c r="E14" t="s">
        <v>50</v>
      </c>
      <c r="F14">
        <v>2</v>
      </c>
      <c r="G14" t="s">
        <v>95</v>
      </c>
      <c r="H14" t="s">
        <v>94</v>
      </c>
      <c r="I14">
        <v>1</v>
      </c>
      <c r="J14" t="s">
        <v>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F9CE0-B92B-EF47-89BC-22DAB4B1639F}">
  <sheetPr codeName="Лист10"/>
  <dimension ref="A1:L6"/>
  <sheetViews>
    <sheetView tabSelected="1" workbookViewId="0">
      <selection activeCell="B6" sqref="B6"/>
    </sheetView>
  </sheetViews>
  <sheetFormatPr baseColWidth="10" defaultRowHeight="16" x14ac:dyDescent="0.2"/>
  <cols>
    <col min="1" max="2" width="15" customWidth="1"/>
    <col min="3" max="3" width="39.83203125" customWidth="1"/>
    <col min="4" max="4" width="15" customWidth="1"/>
    <col min="5" max="5" width="39.83203125" customWidth="1"/>
    <col min="6" max="6" width="15.5" customWidth="1"/>
    <col min="7" max="8" width="15" customWidth="1"/>
    <col min="9" max="10" width="13.33203125" customWidth="1"/>
  </cols>
  <sheetData>
    <row r="1" spans="1:12" x14ac:dyDescent="0.2">
      <c r="A1" t="s">
        <v>3</v>
      </c>
      <c r="B1" t="s">
        <v>4</v>
      </c>
      <c r="C1" t="s">
        <v>5</v>
      </c>
      <c r="D1" t="s">
        <v>52</v>
      </c>
      <c r="E1" t="s">
        <v>7</v>
      </c>
      <c r="F1" t="s">
        <v>2</v>
      </c>
      <c r="G1" t="s">
        <v>0</v>
      </c>
      <c r="H1" t="s">
        <v>1</v>
      </c>
      <c r="I1" t="s">
        <v>86</v>
      </c>
      <c r="J1" t="s">
        <v>87</v>
      </c>
      <c r="K1" t="s">
        <v>96</v>
      </c>
      <c r="L1" t="s">
        <v>97</v>
      </c>
    </row>
    <row r="2" spans="1:12" x14ac:dyDescent="0.2">
      <c r="A2">
        <v>1</v>
      </c>
      <c r="B2">
        <v>0</v>
      </c>
      <c r="C2" t="s">
        <v>59</v>
      </c>
      <c r="F2">
        <v>1</v>
      </c>
      <c r="G2" t="s">
        <v>94</v>
      </c>
      <c r="H2" t="s">
        <v>95</v>
      </c>
      <c r="I2">
        <v>1</v>
      </c>
      <c r="J2" t="s">
        <v>95</v>
      </c>
    </row>
    <row r="3" spans="1:12" x14ac:dyDescent="0.2">
      <c r="A3">
        <v>2</v>
      </c>
      <c r="B3">
        <v>1</v>
      </c>
      <c r="C3" t="s">
        <v>53</v>
      </c>
      <c r="D3" t="s">
        <v>58</v>
      </c>
      <c r="E3" t="s">
        <v>59</v>
      </c>
      <c r="F3">
        <v>2</v>
      </c>
      <c r="G3" t="s">
        <v>95</v>
      </c>
      <c r="H3" t="s">
        <v>95</v>
      </c>
      <c r="I3">
        <v>1</v>
      </c>
      <c r="J3" t="s">
        <v>95</v>
      </c>
    </row>
    <row r="4" spans="1:12" x14ac:dyDescent="0.2">
      <c r="A4">
        <v>3</v>
      </c>
      <c r="B4">
        <v>2</v>
      </c>
      <c r="C4" t="s">
        <v>54</v>
      </c>
      <c r="D4" t="s">
        <v>58</v>
      </c>
      <c r="E4" t="s">
        <v>53</v>
      </c>
      <c r="F4">
        <v>3</v>
      </c>
      <c r="G4" t="s">
        <v>95</v>
      </c>
      <c r="H4" t="s">
        <v>94</v>
      </c>
      <c r="I4">
        <v>1</v>
      </c>
      <c r="J4" t="s">
        <v>95</v>
      </c>
    </row>
    <row r="5" spans="1:12" x14ac:dyDescent="0.2">
      <c r="A5">
        <v>4</v>
      </c>
      <c r="B5">
        <v>2</v>
      </c>
      <c r="C5" t="s">
        <v>55</v>
      </c>
      <c r="D5" t="s">
        <v>58</v>
      </c>
      <c r="E5" t="s">
        <v>53</v>
      </c>
      <c r="F5">
        <v>3</v>
      </c>
      <c r="G5" t="s">
        <v>95</v>
      </c>
      <c r="H5" t="s">
        <v>94</v>
      </c>
      <c r="I5">
        <v>1</v>
      </c>
      <c r="J5" t="s">
        <v>95</v>
      </c>
    </row>
    <row r="6" spans="1:12" x14ac:dyDescent="0.2">
      <c r="A6">
        <v>5</v>
      </c>
      <c r="B6">
        <v>1</v>
      </c>
      <c r="C6" t="s">
        <v>56</v>
      </c>
      <c r="D6" t="s">
        <v>57</v>
      </c>
      <c r="E6" t="s">
        <v>59</v>
      </c>
      <c r="F6">
        <v>2</v>
      </c>
      <c r="G6" t="s">
        <v>95</v>
      </c>
      <c r="H6" t="s">
        <v>94</v>
      </c>
      <c r="I6">
        <v>1</v>
      </c>
      <c r="J6" t="s">
        <v>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0E1DA-7C59-DE47-96DB-1F775B008232}">
  <sheetPr codeName="Лист11"/>
  <dimension ref="A1:L7"/>
  <sheetViews>
    <sheetView workbookViewId="0">
      <selection activeCell="K1" sqref="K1:L1"/>
    </sheetView>
  </sheetViews>
  <sheetFormatPr baseColWidth="10" defaultRowHeight="16" x14ac:dyDescent="0.2"/>
  <cols>
    <col min="1" max="2" width="15" customWidth="1"/>
    <col min="3" max="3" width="39.83203125" customWidth="1"/>
    <col min="4" max="4" width="15" customWidth="1"/>
    <col min="5" max="5" width="39.83203125" customWidth="1"/>
    <col min="6" max="6" width="15.5" customWidth="1"/>
    <col min="7" max="8" width="15" customWidth="1"/>
    <col min="9" max="10" width="13.33203125" customWidth="1"/>
  </cols>
  <sheetData>
    <row r="1" spans="1:12" x14ac:dyDescent="0.2">
      <c r="A1" t="s">
        <v>3</v>
      </c>
      <c r="B1" t="s">
        <v>4</v>
      </c>
      <c r="C1" t="s">
        <v>5</v>
      </c>
      <c r="D1" t="s">
        <v>52</v>
      </c>
      <c r="E1" t="s">
        <v>7</v>
      </c>
      <c r="F1" t="s">
        <v>2</v>
      </c>
      <c r="G1" t="s">
        <v>0</v>
      </c>
      <c r="H1" t="s">
        <v>1</v>
      </c>
      <c r="I1" t="s">
        <v>86</v>
      </c>
      <c r="J1" t="s">
        <v>87</v>
      </c>
      <c r="K1" t="s">
        <v>96</v>
      </c>
      <c r="L1" t="s">
        <v>97</v>
      </c>
    </row>
    <row r="2" spans="1:12" x14ac:dyDescent="0.2">
      <c r="A2">
        <v>1</v>
      </c>
      <c r="B2">
        <v>0</v>
      </c>
      <c r="C2" t="s">
        <v>63</v>
      </c>
      <c r="F2">
        <v>1</v>
      </c>
      <c r="G2" t="s">
        <v>94</v>
      </c>
      <c r="H2" t="s">
        <v>95</v>
      </c>
      <c r="I2">
        <v>1</v>
      </c>
      <c r="J2" t="s">
        <v>95</v>
      </c>
    </row>
    <row r="3" spans="1:12" x14ac:dyDescent="0.2">
      <c r="A3">
        <v>2</v>
      </c>
      <c r="B3">
        <v>1</v>
      </c>
      <c r="C3" t="s">
        <v>64</v>
      </c>
      <c r="D3" t="s">
        <v>66</v>
      </c>
      <c r="E3" t="s">
        <v>63</v>
      </c>
      <c r="F3">
        <v>2</v>
      </c>
      <c r="G3" t="s">
        <v>95</v>
      </c>
      <c r="H3" t="s">
        <v>95</v>
      </c>
      <c r="I3">
        <v>1</v>
      </c>
      <c r="J3" t="s">
        <v>95</v>
      </c>
    </row>
    <row r="4" spans="1:12" x14ac:dyDescent="0.2">
      <c r="A4">
        <v>3</v>
      </c>
      <c r="B4">
        <v>2</v>
      </c>
      <c r="C4" t="s">
        <v>60</v>
      </c>
      <c r="D4" t="s">
        <v>66</v>
      </c>
      <c r="E4" t="s">
        <v>64</v>
      </c>
      <c r="F4">
        <v>3</v>
      </c>
      <c r="G4" t="s">
        <v>95</v>
      </c>
      <c r="H4" t="s">
        <v>94</v>
      </c>
      <c r="I4">
        <v>1</v>
      </c>
      <c r="J4" t="s">
        <v>95</v>
      </c>
    </row>
    <row r="5" spans="1:12" x14ac:dyDescent="0.2">
      <c r="A5">
        <v>4</v>
      </c>
      <c r="B5">
        <v>1</v>
      </c>
      <c r="C5" t="s">
        <v>65</v>
      </c>
      <c r="D5" t="s">
        <v>66</v>
      </c>
      <c r="E5" t="s">
        <v>63</v>
      </c>
      <c r="F5">
        <v>2</v>
      </c>
      <c r="G5" t="s">
        <v>95</v>
      </c>
      <c r="H5" t="s">
        <v>94</v>
      </c>
      <c r="I5">
        <v>1</v>
      </c>
      <c r="J5" t="s">
        <v>95</v>
      </c>
    </row>
    <row r="6" spans="1:12" x14ac:dyDescent="0.2">
      <c r="A6">
        <v>5</v>
      </c>
      <c r="B6">
        <v>2</v>
      </c>
      <c r="C6" t="s">
        <v>61</v>
      </c>
      <c r="D6" t="s">
        <v>66</v>
      </c>
      <c r="E6" t="s">
        <v>64</v>
      </c>
      <c r="F6">
        <v>3</v>
      </c>
      <c r="G6" t="s">
        <v>95</v>
      </c>
      <c r="H6" t="s">
        <v>94</v>
      </c>
      <c r="I6">
        <v>1</v>
      </c>
      <c r="J6" t="s">
        <v>95</v>
      </c>
    </row>
    <row r="7" spans="1:12" x14ac:dyDescent="0.2">
      <c r="A7">
        <v>6</v>
      </c>
      <c r="B7">
        <v>2</v>
      </c>
      <c r="C7" t="s">
        <v>62</v>
      </c>
      <c r="D7" t="s">
        <v>66</v>
      </c>
      <c r="E7" t="s">
        <v>64</v>
      </c>
      <c r="F7">
        <v>3</v>
      </c>
      <c r="G7" t="s">
        <v>95</v>
      </c>
      <c r="H7" t="s">
        <v>94</v>
      </c>
      <c r="I7">
        <v>1</v>
      </c>
      <c r="J7" t="s">
        <v>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1683E-EF57-5C44-8B91-7544CC7C45ED}">
  <sheetPr codeName="Лист12"/>
  <dimension ref="A1:L9"/>
  <sheetViews>
    <sheetView workbookViewId="0">
      <selection activeCell="K1" sqref="K1:L1"/>
    </sheetView>
  </sheetViews>
  <sheetFormatPr baseColWidth="10" defaultRowHeight="16" x14ac:dyDescent="0.2"/>
  <cols>
    <col min="1" max="2" width="15" customWidth="1"/>
    <col min="3" max="3" width="39.83203125" customWidth="1"/>
    <col min="4" max="4" width="15.1640625" customWidth="1"/>
    <col min="5" max="5" width="39.83203125" customWidth="1"/>
    <col min="6" max="8" width="15" customWidth="1"/>
    <col min="9" max="10" width="13.33203125" customWidth="1"/>
  </cols>
  <sheetData>
    <row r="1" spans="1:12" x14ac:dyDescent="0.2">
      <c r="A1" t="s">
        <v>71</v>
      </c>
      <c r="B1" t="s">
        <v>4</v>
      </c>
      <c r="C1" t="s">
        <v>5</v>
      </c>
      <c r="D1" t="s">
        <v>52</v>
      </c>
      <c r="E1" t="s">
        <v>7</v>
      </c>
      <c r="F1" t="s">
        <v>2</v>
      </c>
      <c r="G1" t="s">
        <v>0</v>
      </c>
      <c r="H1" t="s">
        <v>1</v>
      </c>
      <c r="I1" t="s">
        <v>86</v>
      </c>
      <c r="J1" t="s">
        <v>87</v>
      </c>
      <c r="K1" t="s">
        <v>96</v>
      </c>
      <c r="L1" t="s">
        <v>97</v>
      </c>
    </row>
    <row r="2" spans="1:12" x14ac:dyDescent="0.2">
      <c r="A2">
        <v>1</v>
      </c>
      <c r="B2">
        <v>0</v>
      </c>
      <c r="C2" t="s">
        <v>63</v>
      </c>
      <c r="D2" t="s">
        <v>74</v>
      </c>
      <c r="F2">
        <v>1</v>
      </c>
      <c r="G2" t="s">
        <v>94</v>
      </c>
      <c r="H2" t="s">
        <v>95</v>
      </c>
      <c r="I2">
        <v>1</v>
      </c>
      <c r="J2" t="s">
        <v>95</v>
      </c>
    </row>
    <row r="3" spans="1:12" x14ac:dyDescent="0.2">
      <c r="A3">
        <v>2</v>
      </c>
      <c r="B3">
        <v>1</v>
      </c>
      <c r="C3" t="s">
        <v>88</v>
      </c>
      <c r="D3" t="s">
        <v>74</v>
      </c>
      <c r="E3" t="s">
        <v>63</v>
      </c>
      <c r="F3">
        <v>2</v>
      </c>
      <c r="G3" t="s">
        <v>95</v>
      </c>
      <c r="H3" t="s">
        <v>95</v>
      </c>
      <c r="I3">
        <v>1</v>
      </c>
      <c r="J3" t="s">
        <v>95</v>
      </c>
    </row>
    <row r="4" spans="1:12" x14ac:dyDescent="0.2">
      <c r="A4">
        <v>3</v>
      </c>
      <c r="B4">
        <v>2</v>
      </c>
      <c r="C4" t="s">
        <v>89</v>
      </c>
      <c r="D4" t="s">
        <v>74</v>
      </c>
      <c r="E4" t="s">
        <v>88</v>
      </c>
      <c r="F4">
        <v>3</v>
      </c>
      <c r="G4" t="s">
        <v>95</v>
      </c>
      <c r="H4" t="s">
        <v>95</v>
      </c>
      <c r="I4">
        <v>1</v>
      </c>
      <c r="J4" t="s">
        <v>95</v>
      </c>
    </row>
    <row r="5" spans="1:12" x14ac:dyDescent="0.2">
      <c r="A5">
        <v>4</v>
      </c>
      <c r="B5">
        <v>3</v>
      </c>
      <c r="C5" t="s">
        <v>90</v>
      </c>
      <c r="D5" t="s">
        <v>74</v>
      </c>
      <c r="E5" t="s">
        <v>89</v>
      </c>
      <c r="F5">
        <v>4</v>
      </c>
      <c r="G5" t="s">
        <v>95</v>
      </c>
      <c r="H5" t="s">
        <v>95</v>
      </c>
      <c r="I5">
        <v>1</v>
      </c>
      <c r="J5" t="s">
        <v>95</v>
      </c>
    </row>
    <row r="6" spans="1:12" x14ac:dyDescent="0.2">
      <c r="A6">
        <v>5</v>
      </c>
      <c r="B6">
        <v>4</v>
      </c>
      <c r="C6" t="s">
        <v>91</v>
      </c>
      <c r="D6" t="s">
        <v>74</v>
      </c>
      <c r="E6" t="s">
        <v>90</v>
      </c>
      <c r="F6">
        <v>5</v>
      </c>
      <c r="G6" t="s">
        <v>95</v>
      </c>
      <c r="H6" t="s">
        <v>95</v>
      </c>
      <c r="I6">
        <v>1</v>
      </c>
      <c r="J6" t="s">
        <v>95</v>
      </c>
    </row>
    <row r="7" spans="1:12" x14ac:dyDescent="0.2">
      <c r="A7">
        <v>6</v>
      </c>
      <c r="B7">
        <v>5</v>
      </c>
      <c r="C7" t="s">
        <v>92</v>
      </c>
      <c r="D7" t="s">
        <v>74</v>
      </c>
      <c r="E7" t="s">
        <v>91</v>
      </c>
      <c r="F7">
        <v>6</v>
      </c>
      <c r="G7" t="s">
        <v>95</v>
      </c>
      <c r="H7" t="s">
        <v>95</v>
      </c>
      <c r="I7">
        <v>1</v>
      </c>
      <c r="J7" t="s">
        <v>95</v>
      </c>
    </row>
    <row r="8" spans="1:12" x14ac:dyDescent="0.2">
      <c r="A8">
        <v>7</v>
      </c>
      <c r="B8">
        <v>6</v>
      </c>
      <c r="C8" t="s">
        <v>78</v>
      </c>
      <c r="D8" t="s">
        <v>74</v>
      </c>
      <c r="E8" t="s">
        <v>92</v>
      </c>
      <c r="F8">
        <v>7</v>
      </c>
      <c r="G8" t="s">
        <v>95</v>
      </c>
      <c r="H8" t="s">
        <v>95</v>
      </c>
      <c r="I8">
        <v>1</v>
      </c>
      <c r="J8" t="s">
        <v>95</v>
      </c>
    </row>
    <row r="9" spans="1:12" x14ac:dyDescent="0.2">
      <c r="A9">
        <v>8</v>
      </c>
      <c r="B9">
        <v>7</v>
      </c>
      <c r="C9" t="s">
        <v>93</v>
      </c>
      <c r="D9" t="s">
        <v>74</v>
      </c>
      <c r="E9" t="s">
        <v>78</v>
      </c>
      <c r="F9">
        <v>8</v>
      </c>
      <c r="G9" t="s">
        <v>95</v>
      </c>
      <c r="H9" t="s">
        <v>94</v>
      </c>
      <c r="I9">
        <v>1</v>
      </c>
      <c r="J9" t="s">
        <v>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EACA3-C5A8-7240-92D9-719D510FF2D1}">
  <sheetPr codeName="Лист13"/>
  <dimension ref="A1:L14"/>
  <sheetViews>
    <sheetView workbookViewId="0"/>
  </sheetViews>
  <sheetFormatPr baseColWidth="10" defaultRowHeight="16" x14ac:dyDescent="0.2"/>
  <cols>
    <col min="1" max="2" width="15" customWidth="1"/>
    <col min="3" max="3" width="39.83203125" customWidth="1"/>
    <col min="4" max="4" width="15.1640625" customWidth="1"/>
    <col min="5" max="5" width="39.83203125" customWidth="1"/>
    <col min="6" max="8" width="15" customWidth="1"/>
    <col min="9" max="10" width="13.33203125" customWidth="1"/>
  </cols>
  <sheetData>
    <row r="1" spans="1:12" x14ac:dyDescent="0.2">
      <c r="A1" t="s">
        <v>3</v>
      </c>
      <c r="B1" t="s">
        <v>4</v>
      </c>
      <c r="C1" t="s">
        <v>5</v>
      </c>
      <c r="D1" t="s">
        <v>52</v>
      </c>
      <c r="E1" t="s">
        <v>7</v>
      </c>
      <c r="F1" t="s">
        <v>2</v>
      </c>
      <c r="G1" t="s">
        <v>0</v>
      </c>
      <c r="H1" t="s">
        <v>1</v>
      </c>
      <c r="I1" t="s">
        <v>86</v>
      </c>
      <c r="J1" t="s">
        <v>87</v>
      </c>
      <c r="K1" t="s">
        <v>96</v>
      </c>
      <c r="L1" t="s">
        <v>97</v>
      </c>
    </row>
    <row r="2" spans="1:12" x14ac:dyDescent="0.2">
      <c r="A2">
        <v>1</v>
      </c>
      <c r="B2">
        <v>0</v>
      </c>
      <c r="C2" t="s">
        <v>63</v>
      </c>
      <c r="D2" t="s">
        <v>74</v>
      </c>
      <c r="F2">
        <v>1</v>
      </c>
      <c r="G2" t="s">
        <v>94</v>
      </c>
      <c r="H2" t="s">
        <v>95</v>
      </c>
      <c r="I2">
        <v>1</v>
      </c>
      <c r="J2" t="s">
        <v>95</v>
      </c>
    </row>
    <row r="3" spans="1:12" x14ac:dyDescent="0.2">
      <c r="A3">
        <v>2</v>
      </c>
      <c r="B3">
        <v>1</v>
      </c>
      <c r="C3" t="s">
        <v>73</v>
      </c>
      <c r="D3" t="s">
        <v>74</v>
      </c>
      <c r="E3" t="s">
        <v>63</v>
      </c>
      <c r="F3">
        <v>2</v>
      </c>
      <c r="G3" t="s">
        <v>95</v>
      </c>
      <c r="H3" t="s">
        <v>95</v>
      </c>
      <c r="I3">
        <v>1</v>
      </c>
      <c r="J3" t="s">
        <v>95</v>
      </c>
    </row>
    <row r="4" spans="1:12" x14ac:dyDescent="0.2">
      <c r="A4">
        <v>3</v>
      </c>
      <c r="B4">
        <v>2</v>
      </c>
      <c r="C4" t="s">
        <v>75</v>
      </c>
      <c r="D4" t="s">
        <v>74</v>
      </c>
      <c r="E4" t="s">
        <v>73</v>
      </c>
      <c r="F4">
        <v>3</v>
      </c>
      <c r="G4" t="s">
        <v>95</v>
      </c>
      <c r="H4" t="s">
        <v>95</v>
      </c>
      <c r="I4">
        <v>1</v>
      </c>
      <c r="J4" t="s">
        <v>95</v>
      </c>
    </row>
    <row r="5" spans="1:12" x14ac:dyDescent="0.2">
      <c r="A5">
        <v>4</v>
      </c>
      <c r="B5">
        <v>3</v>
      </c>
      <c r="C5" t="s">
        <v>76</v>
      </c>
      <c r="D5" t="s">
        <v>74</v>
      </c>
      <c r="E5" t="s">
        <v>75</v>
      </c>
      <c r="F5">
        <v>4</v>
      </c>
      <c r="G5" t="s">
        <v>95</v>
      </c>
      <c r="H5" t="s">
        <v>95</v>
      </c>
      <c r="I5">
        <v>1</v>
      </c>
      <c r="J5" t="s">
        <v>95</v>
      </c>
    </row>
    <row r="6" spans="1:12" x14ac:dyDescent="0.2">
      <c r="A6">
        <v>5</v>
      </c>
      <c r="B6">
        <v>4</v>
      </c>
      <c r="C6" t="s">
        <v>77</v>
      </c>
      <c r="D6" t="s">
        <v>74</v>
      </c>
      <c r="E6" t="s">
        <v>76</v>
      </c>
      <c r="F6">
        <v>5</v>
      </c>
      <c r="G6" t="s">
        <v>95</v>
      </c>
      <c r="H6" t="s">
        <v>95</v>
      </c>
      <c r="I6">
        <v>1</v>
      </c>
      <c r="J6" t="s">
        <v>95</v>
      </c>
    </row>
    <row r="7" spans="1:12" x14ac:dyDescent="0.2">
      <c r="A7">
        <v>6</v>
      </c>
      <c r="B7">
        <v>5</v>
      </c>
      <c r="C7" t="s">
        <v>78</v>
      </c>
      <c r="D7" t="s">
        <v>74</v>
      </c>
      <c r="E7" t="s">
        <v>77</v>
      </c>
      <c r="F7">
        <v>6</v>
      </c>
      <c r="G7" t="s">
        <v>95</v>
      </c>
      <c r="H7" t="s">
        <v>95</v>
      </c>
      <c r="I7">
        <v>1</v>
      </c>
      <c r="J7" t="s">
        <v>95</v>
      </c>
    </row>
    <row r="8" spans="1:12" x14ac:dyDescent="0.2">
      <c r="A8">
        <v>7</v>
      </c>
      <c r="B8">
        <v>6</v>
      </c>
      <c r="C8" t="s">
        <v>79</v>
      </c>
      <c r="D8" t="s">
        <v>74</v>
      </c>
      <c r="E8" t="s">
        <v>78</v>
      </c>
      <c r="F8">
        <v>7</v>
      </c>
      <c r="G8" t="s">
        <v>95</v>
      </c>
      <c r="H8" t="s">
        <v>95</v>
      </c>
      <c r="I8">
        <v>1</v>
      </c>
      <c r="J8" t="s">
        <v>95</v>
      </c>
    </row>
    <row r="9" spans="1:12" x14ac:dyDescent="0.2">
      <c r="A9">
        <v>8</v>
      </c>
      <c r="B9">
        <v>7</v>
      </c>
      <c r="C9" t="s">
        <v>80</v>
      </c>
      <c r="D9" t="s">
        <v>74</v>
      </c>
      <c r="E9" t="s">
        <v>79</v>
      </c>
      <c r="F9">
        <v>8</v>
      </c>
      <c r="G9" t="s">
        <v>95</v>
      </c>
      <c r="H9" t="s">
        <v>95</v>
      </c>
      <c r="I9">
        <v>1</v>
      </c>
      <c r="J9" t="s">
        <v>95</v>
      </c>
    </row>
    <row r="10" spans="1:12" x14ac:dyDescent="0.2">
      <c r="A10">
        <v>9</v>
      </c>
      <c r="B10">
        <v>8</v>
      </c>
      <c r="C10" t="s">
        <v>81</v>
      </c>
      <c r="D10" t="s">
        <v>74</v>
      </c>
      <c r="E10" t="s">
        <v>80</v>
      </c>
      <c r="F10">
        <v>9</v>
      </c>
      <c r="G10" t="s">
        <v>95</v>
      </c>
      <c r="H10" t="s">
        <v>95</v>
      </c>
      <c r="I10">
        <v>1</v>
      </c>
      <c r="J10" t="s">
        <v>95</v>
      </c>
    </row>
    <row r="11" spans="1:12" x14ac:dyDescent="0.2">
      <c r="A11">
        <v>10</v>
      </c>
      <c r="B11">
        <v>9</v>
      </c>
      <c r="C11" t="s">
        <v>82</v>
      </c>
      <c r="D11" t="s">
        <v>74</v>
      </c>
      <c r="E11" t="s">
        <v>81</v>
      </c>
      <c r="F11">
        <v>10</v>
      </c>
      <c r="G11" t="s">
        <v>95</v>
      </c>
      <c r="H11" t="s">
        <v>95</v>
      </c>
      <c r="I11">
        <v>1</v>
      </c>
      <c r="J11" t="s">
        <v>95</v>
      </c>
    </row>
    <row r="12" spans="1:12" x14ac:dyDescent="0.2">
      <c r="A12">
        <v>11</v>
      </c>
      <c r="B12">
        <v>10</v>
      </c>
      <c r="C12" t="s">
        <v>83</v>
      </c>
      <c r="D12" t="s">
        <v>74</v>
      </c>
      <c r="E12" t="s">
        <v>82</v>
      </c>
      <c r="F12">
        <v>11</v>
      </c>
      <c r="G12" t="s">
        <v>95</v>
      </c>
      <c r="H12" t="s">
        <v>95</v>
      </c>
      <c r="I12">
        <v>1</v>
      </c>
      <c r="J12" t="s">
        <v>95</v>
      </c>
    </row>
    <row r="13" spans="1:12" x14ac:dyDescent="0.2">
      <c r="A13">
        <v>12</v>
      </c>
      <c r="B13">
        <v>11</v>
      </c>
      <c r="C13" t="s">
        <v>84</v>
      </c>
      <c r="D13" t="s">
        <v>74</v>
      </c>
      <c r="E13" t="s">
        <v>83</v>
      </c>
      <c r="F13">
        <v>12</v>
      </c>
      <c r="G13" t="s">
        <v>95</v>
      </c>
      <c r="H13" t="s">
        <v>95</v>
      </c>
      <c r="I13">
        <v>1</v>
      </c>
      <c r="J13" t="s">
        <v>95</v>
      </c>
    </row>
    <row r="14" spans="1:12" x14ac:dyDescent="0.2">
      <c r="A14">
        <v>13</v>
      </c>
      <c r="B14">
        <v>12</v>
      </c>
      <c r="C14" t="s">
        <v>85</v>
      </c>
      <c r="D14" t="s">
        <v>74</v>
      </c>
      <c r="E14" t="s">
        <v>84</v>
      </c>
      <c r="F14">
        <v>13</v>
      </c>
      <c r="G14" t="s">
        <v>95</v>
      </c>
      <c r="H14" t="s">
        <v>94</v>
      </c>
      <c r="I14">
        <v>1</v>
      </c>
      <c r="J14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HY_Template</vt:lpstr>
      <vt:lpstr>Years</vt:lpstr>
      <vt:lpstr>Versions</vt:lpstr>
      <vt:lpstr>Months</vt:lpstr>
      <vt:lpstr>Dispatch_Plants</vt:lpstr>
      <vt:lpstr>Production_Plants</vt:lpstr>
      <vt:lpstr>Cement_types</vt:lpstr>
      <vt:lpstr>Cements_mills</vt:lpstr>
      <vt:lpstr>Cement_mill_KPIs</vt:lpstr>
      <vt:lpstr>Cement_mill_norms</vt:lpstr>
      <vt:lpstr>Paccing_types</vt:lpstr>
      <vt:lpstr>Recipes_raw_meal_indicators</vt:lpstr>
      <vt:lpstr>Recipes_cement_indicators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Rusakov</dc:creator>
  <cp:lastModifiedBy>Pavel Rusakov</cp:lastModifiedBy>
  <dcterms:created xsi:type="dcterms:W3CDTF">2023-04-18T10:49:27Z</dcterms:created>
  <dcterms:modified xsi:type="dcterms:W3CDTF">2023-04-19T07:10:15Z</dcterms:modified>
</cp:coreProperties>
</file>